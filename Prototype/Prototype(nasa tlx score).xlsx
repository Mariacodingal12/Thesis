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37F24A26-5628-4920-B18E-6209F2B46DE5}" xr6:coauthVersionLast="47" xr6:coauthVersionMax="47" xr10:uidLastSave="{00000000-0000-0000-0000-000000000000}"/>
  <bookViews>
    <workbookView xWindow="-110" yWindow="-110" windowWidth="19420" windowHeight="10300" xr2:uid="{454DA379-C064-45CB-AF17-671FDFE2F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  <c r="A19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<sst xmlns="http://schemas.openxmlformats.org/spreadsheetml/2006/main" count="53" uniqueCount="53">
  <si>
    <t>Mental</t>
  </si>
  <si>
    <t>Physical</t>
  </si>
  <si>
    <t>Temporal</t>
  </si>
  <si>
    <t>Performance</t>
  </si>
  <si>
    <t>Effort</t>
  </si>
  <si>
    <t>Frustration</t>
  </si>
  <si>
    <t>Sr.No</t>
  </si>
  <si>
    <t>Email: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</si>
  <si>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</si>
  <si>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</si>
  <si>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</si>
  <si>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</si>
  <si>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</si>
  <si>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</si>
  <si>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</si>
  <si>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</si>
  <si>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</si>
  <si>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</si>
  <si>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</si>
  <si>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</si>
  <si>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</si>
  <si>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</si>
  <si>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</si>
  <si>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</si>
  <si>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</si>
  <si>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</si>
  <si>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</si>
  <si>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</si>
  <si>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</si>
  <si>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</si>
  <si>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</si>
  <si>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</si>
  <si>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</si>
  <si>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</si>
  <si>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</si>
  <si>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</si>
  <si>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</si>
  <si>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</si>
  <si>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</si>
  <si>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</si>
  <si>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</si>
  <si>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</si>
  <si>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</si>
  <si>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</si>
  <si>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</si>
  <si>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</si>
  <si>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</si>
  <si>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</si>
  <si>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</si>
  <si>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</si>
  <si>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</si>
  <si>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</si>
  <si>
    <t>Nasa tlx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</si>
</sst>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1" fillId="0" borderId="3" xfId="0" applyFont="1" applyBorder="1"/>
    <xf numFmtId="0" fontId="2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6F7E-3FD2-41AE-9DAB-73DD1ABF294B}">
  <dimension ref="A1:I45"/>
  <sheetViews>
    <sheetView tabSelected="1" workbookViewId="0">
      <selection activeCell="I1" sqref="I1"/>
    </sheetView>
  </sheetViews>
  <sheetFormatPr defaultRowHeight="14.5" x14ac:dyDescent="0.35"/>
  <sheetData>
    <row r="1" spans="1:9" x14ac:dyDescent="0.35">
      <c r="A1" s="8" t="s">
        <v>6</v>
      </c>
      <c r="B1" s="8" t="s">
        <v>7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52</v>
      </c>
    </row>
    <row r="2" spans="1:9" x14ac:dyDescent="0.35">
      <c r="A2" s="2">
        <v>1</v>
      </c>
      <c r="B2" s="9" t="s">
        <v>8</v>
      </c>
      <c r="C2" s="4">
        <v>20</v>
      </c>
      <c r="D2" s="5">
        <v>40</v>
      </c>
      <c r="E2" s="5">
        <v>20</v>
      </c>
      <c r="F2" s="5">
        <v>5</v>
      </c>
      <c r="G2" s="5">
        <v>40</v>
      </c>
      <c r="H2" s="5">
        <v>20</v>
      </c>
      <c r="I2">
        <f>AVERAGE(C2:H2)</f>
        <v>24.166666666666668</v>
      </c>
    </row>
    <row r="3" spans="1:9" x14ac:dyDescent="0.35">
      <c r="A3" s="2">
        <v>2</v>
      </c>
      <c r="B3" s="9" t="s">
        <v>9</v>
      </c>
      <c r="C3" s="4">
        <v>20</v>
      </c>
      <c r="D3" s="5">
        <v>20</v>
      </c>
      <c r="E3" s="5">
        <v>20</v>
      </c>
      <c r="F3" s="5">
        <v>40</v>
      </c>
      <c r="G3" s="5">
        <v>60</v>
      </c>
      <c r="H3" s="5">
        <v>60</v>
      </c>
      <c r="I3">
        <f>AVERAGE(C3:H3)</f>
        <v>36.666666666666664</v>
      </c>
    </row>
    <row r="4" spans="1:9" x14ac:dyDescent="0.35">
      <c r="A4" s="2">
        <v>3</v>
      </c>
      <c r="B4" s="9" t="s">
        <v>10</v>
      </c>
      <c r="C4" s="4">
        <v>20</v>
      </c>
      <c r="D4" s="5">
        <v>5</v>
      </c>
      <c r="E4" s="5">
        <v>40</v>
      </c>
      <c r="F4" s="5">
        <v>20</v>
      </c>
      <c r="G4" s="5">
        <v>40</v>
      </c>
      <c r="H4" s="5">
        <v>20</v>
      </c>
      <c r="I4">
        <f>AVERAGE(C4:H4)</f>
        <v>24.166666666666668</v>
      </c>
    </row>
    <row r="5" spans="1:9" x14ac:dyDescent="0.35">
      <c r="A5" s="2">
        <v>4</v>
      </c>
      <c r="B5" s="9" t="s">
        <v>11</v>
      </c>
      <c r="C5" s="6">
        <v>5</v>
      </c>
      <c r="D5" s="5">
        <v>20</v>
      </c>
      <c r="E5" s="5">
        <v>5</v>
      </c>
      <c r="F5" s="5">
        <v>20</v>
      </c>
      <c r="G5" s="5">
        <v>5</v>
      </c>
      <c r="H5" s="5">
        <v>20</v>
      </c>
      <c r="I5">
        <f>AVERAGE(C5:H5)</f>
        <v>12.5</v>
      </c>
    </row>
    <row r="6" spans="1:9" x14ac:dyDescent="0.35">
      <c r="A6" s="2">
        <v>5</v>
      </c>
      <c r="B6" s="9" t="s">
        <v>12</v>
      </c>
      <c r="C6" s="5">
        <v>5</v>
      </c>
      <c r="D6" s="5">
        <v>20</v>
      </c>
      <c r="E6" s="5">
        <v>5</v>
      </c>
      <c r="F6" s="5">
        <v>60</v>
      </c>
      <c r="G6" s="5">
        <v>60</v>
      </c>
      <c r="H6" s="5">
        <v>85</v>
      </c>
      <c r="I6">
        <f>AVERAGE(C6:H6)</f>
        <v>39.166666666666664</v>
      </c>
    </row>
    <row r="7" spans="1:9" x14ac:dyDescent="0.35">
      <c r="A7" s="2">
        <v>6</v>
      </c>
      <c r="B7" s="9" t="s">
        <v>13</v>
      </c>
      <c r="C7" s="5">
        <v>5</v>
      </c>
      <c r="D7" s="5">
        <v>5</v>
      </c>
      <c r="E7" s="5">
        <v>20</v>
      </c>
      <c r="F7" s="5">
        <v>5</v>
      </c>
      <c r="G7" s="5">
        <v>40</v>
      </c>
      <c r="H7" s="5">
        <v>20</v>
      </c>
      <c r="I7">
        <f>AVERAGE(C7:H7)</f>
        <v>15.833333333333334</v>
      </c>
    </row>
    <row r="8" spans="1:9" x14ac:dyDescent="0.35">
      <c r="A8" s="2">
        <v>7</v>
      </c>
      <c r="B8" s="9" t="s">
        <v>14</v>
      </c>
      <c r="C8" s="5">
        <v>5</v>
      </c>
      <c r="D8" s="5">
        <v>20</v>
      </c>
      <c r="E8" s="5">
        <v>5</v>
      </c>
      <c r="F8" s="5">
        <v>20</v>
      </c>
      <c r="G8" s="5">
        <v>5</v>
      </c>
      <c r="H8" s="5">
        <v>40</v>
      </c>
      <c r="I8">
        <f>AVERAGE(C8:H8)</f>
        <v>15.833333333333334</v>
      </c>
    </row>
    <row r="9" spans="1:9" x14ac:dyDescent="0.35">
      <c r="A9" s="2">
        <v>8</v>
      </c>
      <c r="B9" s="9" t="s">
        <v>15</v>
      </c>
      <c r="C9" s="5">
        <v>5</v>
      </c>
      <c r="D9" s="5">
        <v>20</v>
      </c>
      <c r="E9" s="5">
        <v>5</v>
      </c>
      <c r="F9" s="5">
        <v>20</v>
      </c>
      <c r="G9" s="5">
        <v>5</v>
      </c>
      <c r="H9" s="5">
        <v>20</v>
      </c>
      <c r="I9">
        <f>AVERAGE(C9:H9)</f>
        <v>12.5</v>
      </c>
    </row>
    <row r="10" spans="1:9" x14ac:dyDescent="0.35">
      <c r="A10" s="2">
        <v>9</v>
      </c>
      <c r="B10" s="9" t="s">
        <v>16</v>
      </c>
      <c r="C10" s="5">
        <v>40</v>
      </c>
      <c r="D10" s="5">
        <v>60</v>
      </c>
      <c r="E10" s="5">
        <v>40</v>
      </c>
      <c r="F10" s="5">
        <v>60</v>
      </c>
      <c r="G10" s="5">
        <v>40</v>
      </c>
      <c r="H10" s="5">
        <v>60</v>
      </c>
      <c r="I10">
        <f>AVERAGE(C10:H10)</f>
        <v>50</v>
      </c>
    </row>
    <row r="11" spans="1:9" x14ac:dyDescent="0.35">
      <c r="A11" s="2">
        <v>10</v>
      </c>
      <c r="B11" s="9" t="s">
        <v>17</v>
      </c>
      <c r="C11" s="5">
        <v>20</v>
      </c>
      <c r="D11" s="5">
        <v>40</v>
      </c>
      <c r="E11" s="5">
        <v>20</v>
      </c>
      <c r="F11" s="5">
        <v>20</v>
      </c>
      <c r="G11" s="5">
        <v>40</v>
      </c>
      <c r="H11" s="5">
        <v>40</v>
      </c>
      <c r="I11">
        <f>AVERAGE(C11:H11)</f>
        <v>30</v>
      </c>
    </row>
    <row r="12" spans="1:9" x14ac:dyDescent="0.35">
      <c r="A12" s="2">
        <v>11</v>
      </c>
      <c r="B12" s="9" t="s">
        <v>18</v>
      </c>
      <c r="C12" s="5">
        <v>20</v>
      </c>
      <c r="D12" s="5">
        <v>20</v>
      </c>
      <c r="E12" s="5">
        <v>40</v>
      </c>
      <c r="F12" s="5">
        <v>60</v>
      </c>
      <c r="G12" s="5">
        <v>20</v>
      </c>
      <c r="H12" s="5">
        <v>40</v>
      </c>
      <c r="I12">
        <f>AVERAGE(C12:H12)</f>
        <v>33.333333333333336</v>
      </c>
    </row>
    <row r="13" spans="1:9" x14ac:dyDescent="0.35">
      <c r="A13" s="2">
        <v>12</v>
      </c>
      <c r="B13" s="9" t="s">
        <v>19</v>
      </c>
      <c r="C13" s="5">
        <v>5</v>
      </c>
      <c r="D13" s="5">
        <v>20</v>
      </c>
      <c r="E13" s="5">
        <v>20</v>
      </c>
      <c r="F13" s="5">
        <v>5</v>
      </c>
      <c r="G13" s="5">
        <v>40</v>
      </c>
      <c r="H13" s="5">
        <v>40</v>
      </c>
      <c r="I13">
        <f>AVERAGE(C13:H13)</f>
        <v>21.666666666666668</v>
      </c>
    </row>
    <row r="14" spans="1:9" x14ac:dyDescent="0.35">
      <c r="A14" s="2">
        <v>13</v>
      </c>
      <c r="B14" s="9" t="s">
        <v>20</v>
      </c>
      <c r="C14" s="5">
        <v>5</v>
      </c>
      <c r="D14" s="5">
        <v>20</v>
      </c>
      <c r="E14" s="5">
        <v>20</v>
      </c>
      <c r="F14" s="5">
        <v>20</v>
      </c>
      <c r="G14" s="5">
        <v>40</v>
      </c>
      <c r="H14" s="5">
        <v>60</v>
      </c>
      <c r="I14">
        <f>AVERAGE(C14:H14)</f>
        <v>27.5</v>
      </c>
    </row>
    <row r="15" spans="1:9" x14ac:dyDescent="0.35">
      <c r="A15" s="2">
        <v>14</v>
      </c>
      <c r="B15" s="9" t="s">
        <v>21</v>
      </c>
      <c r="C15" s="5">
        <v>5</v>
      </c>
      <c r="D15" s="5">
        <v>20</v>
      </c>
      <c r="E15" s="5">
        <v>5</v>
      </c>
      <c r="F15" s="5">
        <v>20</v>
      </c>
      <c r="G15" s="5">
        <v>20</v>
      </c>
      <c r="H15" s="5">
        <v>20</v>
      </c>
      <c r="I15">
        <f>AVERAGE(C15:H15)</f>
        <v>15</v>
      </c>
    </row>
    <row r="16" spans="1:9" x14ac:dyDescent="0.35">
      <c r="A16" s="2">
        <v>15</v>
      </c>
      <c r="B16" s="9" t="s">
        <v>22</v>
      </c>
      <c r="C16" s="5">
        <v>20</v>
      </c>
      <c r="D16" s="5">
        <v>20</v>
      </c>
      <c r="E16" s="5">
        <v>40</v>
      </c>
      <c r="F16" s="5">
        <v>40</v>
      </c>
      <c r="G16" s="5">
        <v>20</v>
      </c>
      <c r="H16" s="5">
        <v>40</v>
      </c>
      <c r="I16">
        <f>AVERAGE(C16:H16)</f>
        <v>30</v>
      </c>
    </row>
    <row r="17" spans="1:9" x14ac:dyDescent="0.35">
      <c r="A17" s="2">
        <v>16</v>
      </c>
      <c r="B17" s="9" t="s">
        <v>23</v>
      </c>
      <c r="C17" s="5">
        <v>5</v>
      </c>
      <c r="D17" s="5">
        <v>20</v>
      </c>
      <c r="E17" s="5">
        <v>5</v>
      </c>
      <c r="F17" s="5">
        <v>40</v>
      </c>
      <c r="G17" s="5">
        <v>20</v>
      </c>
      <c r="H17" s="5">
        <v>40</v>
      </c>
      <c r="I17">
        <f>AVERAGE(C17:H17)</f>
        <v>21.666666666666668</v>
      </c>
    </row>
    <row r="18" spans="1:9" x14ac:dyDescent="0.35">
      <c r="A18" s="2">
        <v>17</v>
      </c>
      <c r="B18" s="9" t="s">
        <v>24</v>
      </c>
      <c r="C18" s="5">
        <v>20</v>
      </c>
      <c r="D18" s="5">
        <v>20</v>
      </c>
      <c r="E18" s="5">
        <v>5</v>
      </c>
      <c r="F18" s="5">
        <v>40</v>
      </c>
      <c r="G18" s="5">
        <v>20</v>
      </c>
      <c r="H18" s="5">
        <v>40</v>
      </c>
      <c r="I18">
        <f>AVERAGE(C18:H18)</f>
        <v>24.166666666666668</v>
      </c>
    </row>
    <row r="19" spans="1:9" x14ac:dyDescent="0.35">
      <c r="A19" s="2">
        <f>18</f>
        <v>18</v>
      </c>
      <c r="B19" s="9" t="s">
        <v>25</v>
      </c>
      <c r="C19" s="5">
        <v>40</v>
      </c>
      <c r="D19" s="5">
        <v>40</v>
      </c>
      <c r="E19" s="5">
        <v>60</v>
      </c>
      <c r="F19" s="5">
        <v>60</v>
      </c>
      <c r="G19" s="5">
        <v>40</v>
      </c>
      <c r="H19" s="5">
        <v>40</v>
      </c>
      <c r="I19">
        <f>AVERAGE(C19:H19)</f>
        <v>46.666666666666664</v>
      </c>
    </row>
    <row r="20" spans="1:9" x14ac:dyDescent="0.35">
      <c r="A20" s="2">
        <v>19</v>
      </c>
      <c r="B20" s="9" t="s">
        <v>26</v>
      </c>
      <c r="C20" s="5">
        <v>5</v>
      </c>
      <c r="D20" s="5">
        <v>20</v>
      </c>
      <c r="E20" s="5">
        <v>5</v>
      </c>
      <c r="F20" s="5">
        <v>40</v>
      </c>
      <c r="G20" s="5">
        <v>40</v>
      </c>
      <c r="H20" s="5">
        <v>85</v>
      </c>
      <c r="I20">
        <f>AVERAGE(C20:H20)</f>
        <v>32.5</v>
      </c>
    </row>
    <row r="21" spans="1:9" x14ac:dyDescent="0.35">
      <c r="A21" s="2">
        <v>20</v>
      </c>
      <c r="B21" s="9" t="s">
        <v>27</v>
      </c>
      <c r="C21" s="5">
        <v>20</v>
      </c>
      <c r="D21" s="5">
        <v>40</v>
      </c>
      <c r="E21" s="5">
        <v>20</v>
      </c>
      <c r="F21" s="5">
        <v>40</v>
      </c>
      <c r="G21" s="5">
        <v>20</v>
      </c>
      <c r="H21" s="5">
        <v>20</v>
      </c>
      <c r="I21">
        <f>AVERAGE(C21:H21)</f>
        <v>26.666666666666668</v>
      </c>
    </row>
    <row r="22" spans="1:9" x14ac:dyDescent="0.35">
      <c r="A22" s="2">
        <v>21</v>
      </c>
      <c r="B22" s="9" t="s">
        <v>28</v>
      </c>
      <c r="C22" s="5">
        <v>20</v>
      </c>
      <c r="D22" s="5">
        <v>20</v>
      </c>
      <c r="E22" s="5">
        <v>20</v>
      </c>
      <c r="F22" s="5">
        <v>40</v>
      </c>
      <c r="G22" s="5">
        <v>20</v>
      </c>
      <c r="H22" s="5">
        <v>20</v>
      </c>
      <c r="I22">
        <f>AVERAGE(C22:H22)</f>
        <v>23.333333333333332</v>
      </c>
    </row>
    <row r="23" spans="1:9" x14ac:dyDescent="0.35">
      <c r="A23" s="2">
        <v>22</v>
      </c>
      <c r="B23" s="9" t="s">
        <v>29</v>
      </c>
      <c r="C23" s="5">
        <v>5</v>
      </c>
      <c r="D23" s="5">
        <v>5</v>
      </c>
      <c r="E23" s="5">
        <v>40</v>
      </c>
      <c r="F23" s="5">
        <v>40</v>
      </c>
      <c r="G23" s="5">
        <v>20</v>
      </c>
      <c r="H23" s="5">
        <v>40</v>
      </c>
      <c r="I23">
        <f>AVERAGE(C23:H23)</f>
        <v>25</v>
      </c>
    </row>
    <row r="24" spans="1:9" x14ac:dyDescent="0.35">
      <c r="A24" s="2">
        <v>23</v>
      </c>
      <c r="B24" s="9" t="s">
        <v>30</v>
      </c>
      <c r="C24" s="5">
        <v>20</v>
      </c>
      <c r="D24" s="5">
        <v>40</v>
      </c>
      <c r="E24" s="5">
        <v>20</v>
      </c>
      <c r="F24" s="5">
        <v>20</v>
      </c>
      <c r="G24" s="5">
        <v>20</v>
      </c>
      <c r="H24" s="5">
        <v>60</v>
      </c>
      <c r="I24">
        <f>AVERAGE(C24:H24)</f>
        <v>30</v>
      </c>
    </row>
    <row r="25" spans="1:9" x14ac:dyDescent="0.35">
      <c r="A25" s="2">
        <v>24</v>
      </c>
      <c r="B25" s="9" t="s">
        <v>31</v>
      </c>
      <c r="C25" s="5">
        <v>5</v>
      </c>
      <c r="D25" s="5">
        <v>20</v>
      </c>
      <c r="E25" s="5">
        <v>40</v>
      </c>
      <c r="F25" s="5">
        <v>20</v>
      </c>
      <c r="G25" s="5">
        <v>20</v>
      </c>
      <c r="H25" s="5">
        <v>40</v>
      </c>
      <c r="I25">
        <f>AVERAGE(C25:H25)</f>
        <v>24.166666666666668</v>
      </c>
    </row>
    <row r="26" spans="1:9" x14ac:dyDescent="0.35">
      <c r="A26" s="2">
        <v>25</v>
      </c>
      <c r="B26" s="9" t="s">
        <v>32</v>
      </c>
      <c r="C26" s="5">
        <v>40</v>
      </c>
      <c r="D26" s="5">
        <v>20</v>
      </c>
      <c r="E26" s="5">
        <v>60</v>
      </c>
      <c r="F26" s="5">
        <v>20</v>
      </c>
      <c r="G26" s="5">
        <v>40</v>
      </c>
      <c r="H26" s="5">
        <v>40</v>
      </c>
      <c r="I26">
        <f>AVERAGE(C26:H26)</f>
        <v>36.666666666666664</v>
      </c>
    </row>
    <row r="27" spans="1:9" x14ac:dyDescent="0.35">
      <c r="A27" s="2">
        <v>26</v>
      </c>
      <c r="B27" s="9" t="s">
        <v>33</v>
      </c>
      <c r="C27" s="5">
        <v>20</v>
      </c>
      <c r="D27" s="5">
        <v>40</v>
      </c>
      <c r="E27" s="5">
        <v>20</v>
      </c>
      <c r="F27" s="5">
        <v>40</v>
      </c>
      <c r="G27" s="5">
        <v>40</v>
      </c>
      <c r="H27" s="5">
        <v>20</v>
      </c>
      <c r="I27">
        <f>AVERAGE(C27:H27)</f>
        <v>30</v>
      </c>
    </row>
    <row r="28" spans="1:9" x14ac:dyDescent="0.35">
      <c r="A28" s="2">
        <v>27</v>
      </c>
      <c r="B28" s="9" t="s">
        <v>34</v>
      </c>
      <c r="C28" s="5">
        <v>20</v>
      </c>
      <c r="D28" s="5">
        <v>5</v>
      </c>
      <c r="E28" s="5">
        <v>40</v>
      </c>
      <c r="F28" s="5">
        <v>20</v>
      </c>
      <c r="G28" s="5">
        <v>40</v>
      </c>
      <c r="H28" s="5">
        <v>20</v>
      </c>
      <c r="I28">
        <f>AVERAGE(C28:H28)</f>
        <v>24.166666666666668</v>
      </c>
    </row>
    <row r="29" spans="1:9" x14ac:dyDescent="0.35">
      <c r="A29" s="2">
        <v>28</v>
      </c>
      <c r="B29" s="9" t="s">
        <v>35</v>
      </c>
      <c r="C29" s="5">
        <v>40</v>
      </c>
      <c r="D29" s="5">
        <v>40</v>
      </c>
      <c r="E29" s="5">
        <v>20</v>
      </c>
      <c r="F29" s="5">
        <v>20</v>
      </c>
      <c r="G29" s="5">
        <v>40</v>
      </c>
      <c r="H29" s="5">
        <v>60</v>
      </c>
      <c r="I29">
        <f>AVERAGE(C29:H29)</f>
        <v>36.666666666666664</v>
      </c>
    </row>
    <row r="30" spans="1:9" x14ac:dyDescent="0.35">
      <c r="A30" s="2">
        <v>29</v>
      </c>
      <c r="B30" s="9" t="s">
        <v>36</v>
      </c>
      <c r="C30" s="5">
        <v>5</v>
      </c>
      <c r="D30" s="5">
        <v>20</v>
      </c>
      <c r="E30" s="5">
        <v>5</v>
      </c>
      <c r="F30" s="5">
        <v>20</v>
      </c>
      <c r="G30" s="5">
        <v>40</v>
      </c>
      <c r="H30" s="5">
        <v>40</v>
      </c>
      <c r="I30">
        <f>AVERAGE(C30:H30)</f>
        <v>21.666666666666668</v>
      </c>
    </row>
    <row r="31" spans="1:9" x14ac:dyDescent="0.35">
      <c r="A31" s="2">
        <v>30</v>
      </c>
      <c r="B31" s="9" t="s">
        <v>37</v>
      </c>
      <c r="C31" s="5">
        <v>5</v>
      </c>
      <c r="D31" s="5">
        <v>20</v>
      </c>
      <c r="E31" s="5">
        <v>5</v>
      </c>
      <c r="F31" s="5">
        <v>40</v>
      </c>
      <c r="G31" s="5">
        <v>20</v>
      </c>
      <c r="H31" s="5">
        <v>85</v>
      </c>
      <c r="I31">
        <f>AVERAGE(C31:H31)</f>
        <v>29.166666666666668</v>
      </c>
    </row>
    <row r="32" spans="1:9" x14ac:dyDescent="0.35">
      <c r="A32" s="2">
        <v>31</v>
      </c>
      <c r="B32" s="9" t="s">
        <v>38</v>
      </c>
      <c r="C32" s="5">
        <v>40</v>
      </c>
      <c r="D32" s="5">
        <v>20</v>
      </c>
      <c r="E32" s="5">
        <v>20</v>
      </c>
      <c r="F32" s="5">
        <v>40</v>
      </c>
      <c r="G32" s="5">
        <v>40</v>
      </c>
      <c r="H32" s="5">
        <v>60</v>
      </c>
      <c r="I32">
        <f>AVERAGE(C32:H32)</f>
        <v>36.666666666666664</v>
      </c>
    </row>
    <row r="33" spans="1:9" x14ac:dyDescent="0.35">
      <c r="A33" s="2">
        <v>32</v>
      </c>
      <c r="B33" s="9" t="s">
        <v>39</v>
      </c>
      <c r="C33" s="5">
        <v>5</v>
      </c>
      <c r="D33" s="5">
        <v>20</v>
      </c>
      <c r="E33" s="5">
        <v>40</v>
      </c>
      <c r="F33" s="5">
        <v>5</v>
      </c>
      <c r="G33" s="5">
        <v>5</v>
      </c>
      <c r="H33" s="5">
        <v>60</v>
      </c>
      <c r="I33">
        <f>AVERAGE(C33:H33)</f>
        <v>22.5</v>
      </c>
    </row>
    <row r="34" spans="1:9" x14ac:dyDescent="0.35">
      <c r="A34" s="2">
        <f>33</f>
        <v>33</v>
      </c>
      <c r="B34" s="9" t="s">
        <v>40</v>
      </c>
      <c r="C34" s="5">
        <v>40</v>
      </c>
      <c r="D34" s="5">
        <v>40</v>
      </c>
      <c r="E34" s="5">
        <v>60</v>
      </c>
      <c r="F34" s="5">
        <v>40</v>
      </c>
      <c r="G34" s="5">
        <v>60</v>
      </c>
      <c r="H34" s="5">
        <v>60</v>
      </c>
      <c r="I34">
        <f>AVERAGE(C34:H34)</f>
        <v>50</v>
      </c>
    </row>
    <row r="35" spans="1:9" x14ac:dyDescent="0.35">
      <c r="A35" s="2">
        <v>34</v>
      </c>
      <c r="B35" s="9" t="s">
        <v>41</v>
      </c>
      <c r="C35" s="5">
        <v>5</v>
      </c>
      <c r="D35" s="5">
        <v>20</v>
      </c>
      <c r="E35" s="5">
        <v>20</v>
      </c>
      <c r="F35" s="5">
        <v>5</v>
      </c>
      <c r="G35" s="5">
        <v>60</v>
      </c>
      <c r="H35" s="5">
        <v>40</v>
      </c>
      <c r="I35">
        <f>AVERAGE(C35:H35)</f>
        <v>25</v>
      </c>
    </row>
    <row r="36" spans="1:9" x14ac:dyDescent="0.35">
      <c r="A36" s="2">
        <v>35</v>
      </c>
      <c r="B36" s="9" t="s">
        <v>42</v>
      </c>
      <c r="C36" s="5">
        <v>40</v>
      </c>
      <c r="D36" s="5">
        <v>40</v>
      </c>
      <c r="E36" s="5">
        <v>20</v>
      </c>
      <c r="F36" s="5">
        <v>85</v>
      </c>
      <c r="G36" s="5">
        <v>85</v>
      </c>
      <c r="H36" s="5">
        <v>40</v>
      </c>
      <c r="I36">
        <f>AVERAGE(C36:H36)</f>
        <v>51.666666666666664</v>
      </c>
    </row>
    <row r="37" spans="1:9" x14ac:dyDescent="0.35">
      <c r="A37" s="2">
        <v>36</v>
      </c>
      <c r="B37" s="9" t="s">
        <v>43</v>
      </c>
      <c r="C37" s="5">
        <v>60</v>
      </c>
      <c r="D37" s="5">
        <v>20</v>
      </c>
      <c r="E37" s="5">
        <v>60</v>
      </c>
      <c r="F37" s="5">
        <v>40</v>
      </c>
      <c r="G37" s="5">
        <v>60</v>
      </c>
      <c r="H37" s="5">
        <v>40</v>
      </c>
      <c r="I37">
        <f>AVERAGE(C37:H37)</f>
        <v>46.666666666666664</v>
      </c>
    </row>
    <row r="38" spans="1:9" x14ac:dyDescent="0.35">
      <c r="A38" s="2">
        <v>37</v>
      </c>
      <c r="B38" s="9" t="s">
        <v>44</v>
      </c>
      <c r="C38" s="5">
        <v>40</v>
      </c>
      <c r="D38" s="5">
        <v>20</v>
      </c>
      <c r="E38" s="5">
        <v>40</v>
      </c>
      <c r="F38" s="5">
        <v>20</v>
      </c>
      <c r="G38" s="5">
        <v>40</v>
      </c>
      <c r="H38" s="5">
        <v>60</v>
      </c>
      <c r="I38">
        <f>AVERAGE(C38:H38)</f>
        <v>36.666666666666664</v>
      </c>
    </row>
    <row r="39" spans="1:9" x14ac:dyDescent="0.35">
      <c r="A39" s="2">
        <v>38</v>
      </c>
      <c r="B39" s="9" t="s">
        <v>45</v>
      </c>
      <c r="C39" s="5">
        <v>5</v>
      </c>
      <c r="D39" s="5">
        <v>20</v>
      </c>
      <c r="E39" s="5">
        <v>20</v>
      </c>
      <c r="F39" s="5">
        <v>40</v>
      </c>
      <c r="G39" s="5">
        <v>20</v>
      </c>
      <c r="H39" s="7">
        <v>5</v>
      </c>
      <c r="I39">
        <f>AVERAGE(C39:H39)</f>
        <v>18.333333333333332</v>
      </c>
    </row>
    <row r="40" spans="1:9" x14ac:dyDescent="0.35">
      <c r="A40" s="2">
        <v>39</v>
      </c>
      <c r="B40" s="9" t="s">
        <v>46</v>
      </c>
      <c r="C40" s="5">
        <v>40</v>
      </c>
      <c r="D40" s="5">
        <v>20</v>
      </c>
      <c r="E40" s="5">
        <v>40</v>
      </c>
      <c r="F40" s="5">
        <v>60</v>
      </c>
      <c r="G40" s="5">
        <v>40</v>
      </c>
      <c r="H40" s="5">
        <v>20</v>
      </c>
      <c r="I40">
        <f>AVERAGE(C40:H40)</f>
        <v>36.666666666666664</v>
      </c>
    </row>
    <row r="41" spans="1:9" x14ac:dyDescent="0.35">
      <c r="A41" s="2">
        <v>40</v>
      </c>
      <c r="B41" s="9" t="s">
        <v>47</v>
      </c>
      <c r="C41" s="5">
        <v>60</v>
      </c>
      <c r="D41" s="5">
        <v>85</v>
      </c>
      <c r="E41" s="5">
        <v>60</v>
      </c>
      <c r="F41" s="5">
        <v>60</v>
      </c>
      <c r="G41" s="5">
        <v>85</v>
      </c>
      <c r="H41" s="5">
        <v>60</v>
      </c>
      <c r="I41">
        <f>AVERAGE(C41:H41)</f>
        <v>68.333333333333329</v>
      </c>
    </row>
    <row r="42" spans="1:9" x14ac:dyDescent="0.35">
      <c r="A42" s="2">
        <v>41</v>
      </c>
      <c r="B42" s="9" t="s">
        <v>48</v>
      </c>
      <c r="C42" s="5">
        <v>60</v>
      </c>
      <c r="D42" s="5">
        <v>20</v>
      </c>
      <c r="E42" s="5">
        <v>40</v>
      </c>
      <c r="F42" s="5">
        <v>20</v>
      </c>
      <c r="G42" s="5">
        <v>40</v>
      </c>
      <c r="H42" s="5">
        <v>5</v>
      </c>
      <c r="I42">
        <f>AVERAGE(C42:H42)</f>
        <v>30.833333333333332</v>
      </c>
    </row>
    <row r="43" spans="1:9" x14ac:dyDescent="0.35">
      <c r="A43" s="2">
        <v>42</v>
      </c>
      <c r="B43" s="9" t="s">
        <v>49</v>
      </c>
      <c r="C43" s="5">
        <v>20</v>
      </c>
      <c r="D43" s="5">
        <v>20</v>
      </c>
      <c r="E43" s="5">
        <v>20</v>
      </c>
      <c r="F43" s="5">
        <v>40</v>
      </c>
      <c r="G43" s="5">
        <v>40</v>
      </c>
      <c r="H43" s="5">
        <v>20</v>
      </c>
      <c r="I43">
        <f>AVERAGE(C43:H43)</f>
        <v>26.666666666666668</v>
      </c>
    </row>
    <row r="44" spans="1:9" x14ac:dyDescent="0.35">
      <c r="A44" s="2">
        <v>43</v>
      </c>
      <c r="B44" s="9" t="s">
        <v>50</v>
      </c>
      <c r="C44" s="5">
        <v>20</v>
      </c>
      <c r="D44" s="5">
        <v>40</v>
      </c>
      <c r="E44" s="5">
        <v>20</v>
      </c>
      <c r="F44" s="5">
        <v>40</v>
      </c>
      <c r="G44" s="5">
        <v>40</v>
      </c>
      <c r="H44" s="5">
        <v>20</v>
      </c>
      <c r="I44">
        <f>AVERAGE(C44:H44)</f>
        <v>30</v>
      </c>
    </row>
    <row r="45" spans="1:9" x14ac:dyDescent="0.35">
      <c r="A45" s="2">
        <v>44</v>
      </c>
      <c r="B45" s="9" t="s">
        <v>51</v>
      </c>
      <c r="C45" s="5">
        <v>60</v>
      </c>
      <c r="D45" s="5">
        <v>5</v>
      </c>
      <c r="E45" s="5">
        <v>85</v>
      </c>
      <c r="F45" s="5">
        <v>60</v>
      </c>
      <c r="G45" s="5">
        <v>60</v>
      </c>
      <c r="H45" s="5">
        <v>20</v>
      </c>
      <c r="I45">
        <f>AVERAGE(C45:H45)</f>
        <v>48.333333333333336</v>
      </c>
    </row>
  </sheetData>
  <hyperlinks>
    <hyperlink ref="B2" r:id="rId1" xr:uid="{D3B0571A-072E-432B-9FE1-A84A7C6418CA}"/>
    <hyperlink ref="B3" r:id="rId2" xr:uid="{2F798C6B-9C49-4F64-92DB-0C343DC50ABD}"/>
    <hyperlink ref="B4" r:id="rId3" xr:uid="{7FAB4157-5DFA-4239-B186-B78F1473CB07}"/>
    <hyperlink ref="B5" r:id="rId4" xr:uid="{D43251B8-9681-42A8-864A-1156A5EA2007}"/>
    <hyperlink ref="B6" r:id="rId5" xr:uid="{C595FC74-B989-4EF8-9F26-A5D1C1A8500B}"/>
    <hyperlink ref="B7" r:id="rId6" xr:uid="{D4322A5B-D842-4CC5-B849-1FC3FCF3C70A}"/>
    <hyperlink ref="B8" r:id="rId7" xr:uid="{CF6962AC-0007-49B2-9B76-751E920E9D78}"/>
    <hyperlink ref="B9" r:id="rId8" xr:uid="{D474B90C-4C53-4262-9F33-9367179809D6}"/>
    <hyperlink ref="B10" r:id="rId9" xr:uid="{8DE2C597-93DC-44F3-9380-194407A04A2A}"/>
    <hyperlink ref="B11" r:id="rId10" xr:uid="{5EC2C10F-87DF-42A4-B147-48DB970976E6}"/>
    <hyperlink ref="B12" r:id="rId11" xr:uid="{327D8C39-0662-4A65-8414-2A7D4B2DD165}"/>
    <hyperlink ref="B13" r:id="rId12" xr:uid="{A470B2F9-EA5B-4563-ABE3-49636E3AF955}"/>
    <hyperlink ref="B14" r:id="rId13" xr:uid="{15AA7533-E150-416B-869B-98F05CBACE4D}"/>
    <hyperlink ref="B15" r:id="rId14" xr:uid="{8ABDDA59-E239-4BAE-8ED7-070F5FD07756}"/>
    <hyperlink ref="B16" r:id="rId15" xr:uid="{FB6A31DA-A927-42EE-85D1-29D87E22850B}"/>
    <hyperlink ref="B17" r:id="rId16" xr:uid="{729C66AF-6D21-4AA3-88C7-FB71B029C07B}"/>
    <hyperlink ref="B18" r:id="rId17" xr:uid="{1F47FE71-011A-4166-B37E-33238E0297AC}"/>
    <hyperlink ref="B19" r:id="rId18" xr:uid="{86AEB2D4-4783-462D-A6E5-26E6845A7E77}"/>
    <hyperlink ref="B20" r:id="rId19" xr:uid="{90B872F7-B77F-448A-915D-25FE0B186D75}"/>
    <hyperlink ref="B21" r:id="rId20" xr:uid="{5514B36C-628D-4AC0-9916-90F6844C2D31}"/>
    <hyperlink ref="B22" r:id="rId21" xr:uid="{BEC8A513-0820-4B07-84A1-EBA4FD2073AD}"/>
    <hyperlink ref="B23" r:id="rId22" xr:uid="{23F5C14D-06E1-451F-BC37-DC5F50F3CE80}"/>
    <hyperlink ref="B24" r:id="rId23" xr:uid="{29534FD5-3C7E-460B-96E4-8C83B1151698}"/>
    <hyperlink ref="B25" r:id="rId24" xr:uid="{F2A0A9FE-A0FC-4F5D-8653-C6B1DB595C08}"/>
    <hyperlink ref="B26" r:id="rId25" xr:uid="{E7F1E6A3-3DF6-4AD9-9586-D76288B1BD01}"/>
    <hyperlink ref="B27" r:id="rId26" xr:uid="{A2C4C78D-BF2D-4206-9BE1-D64E16078C09}"/>
    <hyperlink ref="B28" r:id="rId27" xr:uid="{7F8BFBD5-713E-4AE5-B884-CEE916F182DE}"/>
    <hyperlink ref="B29" r:id="rId28" xr:uid="{44A2DEC8-A049-48BA-9E73-3B469D893B3E}"/>
    <hyperlink ref="B30" r:id="rId29" xr:uid="{9C82A8F8-E718-46F0-85DE-6E8EFF3036C6}"/>
    <hyperlink ref="B31" r:id="rId30" xr:uid="{3864CA01-C836-4A4A-BD5F-6160CDFF3481}"/>
    <hyperlink ref="B32" r:id="rId31" xr:uid="{8125A7E0-6FE4-476D-945A-2357621E8E4D}"/>
    <hyperlink ref="B33" r:id="rId32" xr:uid="{CFEA6797-6A75-48D0-912C-142C4B77CF1F}"/>
    <hyperlink ref="B34" r:id="rId33" xr:uid="{BDC7A833-FE61-43AB-B145-17E71E420732}"/>
    <hyperlink ref="B35" r:id="rId34" xr:uid="{9A7A10DD-82F5-4B80-BC91-AB27E83FF6E9}"/>
    <hyperlink ref="B36" r:id="rId35" xr:uid="{FA43EF94-9BEF-450E-AD52-C08B2F11BEAA}"/>
    <hyperlink ref="B37" r:id="rId36" xr:uid="{C1039480-3886-4BC0-9A41-AF71FF4C0C64}"/>
    <hyperlink ref="B38" r:id="rId37" xr:uid="{FEA05B0B-6387-410C-A014-AE46F2713A2E}"/>
    <hyperlink ref="B39" r:id="rId38" xr:uid="{0406E794-300C-4CA8-B105-8A4CCA5DE594}"/>
    <hyperlink ref="B40" r:id="rId39" xr:uid="{DB50E800-8FB2-4969-9C00-67D7DD4C037D}"/>
    <hyperlink ref="B41" r:id="rId40" xr:uid="{3504A138-40C4-4221-85E1-A3E7C8202EA3}"/>
    <hyperlink ref="B42" r:id="rId41" xr:uid="{942AA138-B160-4123-A35E-E3461CCA6855}"/>
    <hyperlink ref="B43" r:id="rId42" xr:uid="{C32A754F-1ECB-4A9E-866E-C2488E508ACB}"/>
    <hyperlink ref="B44" r:id="rId43" xr:uid="{0CF3C26A-966E-4168-9859-4BECF32DEDEE}"/>
    <hyperlink ref="B45" r:id="rId44" xr:uid="{A17AD9CB-8168-416F-A109-B05ABE7E5C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2026-04-13T09:18:06Z</dcterms:created>
  <dcterms:modified xsi:type="dcterms:W3CDTF">2026-04-13T09:19:07Z</dcterms:modified>
</cp:coreProperties>
</file>